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ika\Documents\"/>
    </mc:Choice>
  </mc:AlternateContent>
  <xr:revisionPtr revIDLastSave="0" documentId="13_ncr:1_{CE7FC255-04C5-473E-BF36-BFCB771A6C00}" xr6:coauthVersionLast="47" xr6:coauthVersionMax="47" xr10:uidLastSave="{00000000-0000-0000-0000-000000000000}"/>
  <bookViews>
    <workbookView xWindow="-120" yWindow="-120" windowWidth="20730" windowHeight="11160" activeTab="1" xr2:uid="{3105BC0B-7A5C-4184-8677-FA1D4F479035}"/>
  </bookViews>
  <sheets>
    <sheet name="集計表" sheetId="3" r:id="rId1"/>
    <sheet name="データ" sheetId="2" r:id="rId2"/>
    <sheet name="使用方法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F4" i="4" s="1"/>
  <c r="G4" i="3"/>
  <c r="D4" i="3" s="1"/>
  <c r="D5" i="3" s="1"/>
  <c r="G5" i="3" l="1"/>
  <c r="C4" i="4"/>
  <c r="E4" i="4"/>
  <c r="D4" i="4"/>
  <c r="C4" i="3"/>
  <c r="C5" i="3" s="1"/>
  <c r="E4" i="3"/>
  <c r="E5" i="3" s="1"/>
  <c r="F4" i="3"/>
  <c r="F5" i="3" s="1"/>
</calcChain>
</file>

<file path=xl/sharedStrings.xml><?xml version="1.0" encoding="utf-8"?>
<sst xmlns="http://schemas.openxmlformats.org/spreadsheetml/2006/main" count="67" uniqueCount="24">
  <si>
    <t>日付</t>
    <phoneticPr fontId="1"/>
  </si>
  <si>
    <t>Redmineデータ</t>
    <phoneticPr fontId="1"/>
  </si>
  <si>
    <t>工数の集計結果</t>
    <rPh sb="0" eb="2">
      <t>コウスウ</t>
    </rPh>
    <rPh sb="3" eb="7">
      <t>シュウケイケッカ</t>
    </rPh>
    <phoneticPr fontId="1"/>
  </si>
  <si>
    <t>寺内</t>
  </si>
  <si>
    <t>秋本</t>
  </si>
  <si>
    <t>プロジェクト</t>
    <phoneticPr fontId="1"/>
  </si>
  <si>
    <t>ユーザー</t>
    <phoneticPr fontId="1"/>
  </si>
  <si>
    <t>活動</t>
    <rPh sb="0" eb="2">
      <t>カツドウ</t>
    </rPh>
    <phoneticPr fontId="1"/>
  </si>
  <si>
    <t>時間</t>
    <rPh sb="0" eb="2">
      <t>ジカン</t>
    </rPh>
    <phoneticPr fontId="1"/>
  </si>
  <si>
    <t>チケット</t>
    <phoneticPr fontId="1"/>
  </si>
  <si>
    <t>コメント</t>
    <phoneticPr fontId="1"/>
  </si>
  <si>
    <t>a</t>
    <phoneticPr fontId="1"/>
  </si>
  <si>
    <t>!3!</t>
  </si>
  <si>
    <t>!0!</t>
  </si>
  <si>
    <t>藤崎</t>
    <rPh sb="0" eb="2">
      <t>フジサキ</t>
    </rPh>
    <phoneticPr fontId="1"/>
  </si>
  <si>
    <t>Name</t>
    <phoneticPr fontId="1"/>
  </si>
  <si>
    <t>人数</t>
    <rPh sb="0" eb="2">
      <t>ニンズウ</t>
    </rPh>
    <phoneticPr fontId="1"/>
  </si>
  <si>
    <t>開始行</t>
    <rPh sb="0" eb="3">
      <t>カイシギョウ</t>
    </rPh>
    <phoneticPr fontId="1"/>
  </si>
  <si>
    <t>!04.00!</t>
  </si>
  <si>
    <t>!00.00!</t>
  </si>
  <si>
    <t>!05.00!</t>
  </si>
  <si>
    <t>!02.00!</t>
  </si>
  <si>
    <t>!12.20!</t>
  </si>
  <si>
    <t>※セルの書式設定必要</t>
    <rPh sb="4" eb="8">
      <t>ショシキセッテイ</t>
    </rPh>
    <rPh sb="8" eb="10">
      <t>ヒツヨウ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</si>
</sst>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;@"/>
    <numFmt numFmtId="177" formatCode="m&quot;/&quot;d\(aaa\)"/>
    <numFmt numFmtId="178" formatCode="00.00"/>
    <numFmt numFmtId="179" formatCode="0.00_);[Red]\(0.00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666750</xdr:colOff>
          <xdr:row>0</xdr:row>
          <xdr:rowOff>228600</xdr:rowOff>
        </xdr:from>
        <xdr:to>
          <xdr:col>12</xdr:col>
          <xdr:colOff>76200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409574</xdr:colOff>
      <xdr:row>1</xdr:row>
      <xdr:rowOff>304798</xdr:rowOff>
    </xdr:from>
    <xdr:to>
      <xdr:col>23</xdr:col>
      <xdr:colOff>19050</xdr:colOff>
      <xdr:row>20</xdr:row>
      <xdr:rowOff>171449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915399" y="542923"/>
          <a:ext cx="6467476" cy="44577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【</a:t>
          </a:r>
          <a:r>
            <a:rPr kumimoji="1" lang="ja-JP" altLang="en-US" sz="1100">
              <a:solidFill>
                <a:sysClr val="windowText" lastClr="000000"/>
              </a:solidFill>
            </a:rPr>
            <a:t>使用方法</a:t>
          </a:r>
          <a:r>
            <a:rPr kumimoji="1" lang="en-US" altLang="ja-JP" sz="11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ja-JP" altLang="en-US" sz="1100" baseline="0">
              <a:solidFill>
                <a:sysClr val="windowText" lastClr="000000"/>
              </a:solidFill>
            </a:rPr>
            <a:t>　・工数を集計する場合</a:t>
          </a:r>
          <a:endParaRPr kumimoji="1" lang="en-US" altLang="ja-JP" sz="1100" baseline="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 baseline="0">
              <a:solidFill>
                <a:sysClr val="windowText" lastClr="000000"/>
              </a:solidFill>
            </a:rPr>
            <a:t>　　→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「集計表」シートの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「集計開始」ボタンを押下してください。</a:t>
          </a:r>
          <a:endParaRPr kumimoji="1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・工数取得対象のメンバーを増やす場合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→「集計表」シートの</a:t>
          </a:r>
          <a:r>
            <a:rPr kumimoji="1" lang="en-US" altLang="ja-JP" sz="1100">
              <a:solidFill>
                <a:sysClr val="windowText" lastClr="000000"/>
              </a:solidFill>
            </a:rPr>
            <a:t>B</a:t>
          </a:r>
          <a:r>
            <a:rPr kumimoji="1" lang="ja-JP" altLang="en-US" sz="1100">
              <a:solidFill>
                <a:sysClr val="windowText" lastClr="000000"/>
              </a:solidFill>
            </a:rPr>
            <a:t>列に名前を追加してください。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この場合必ず</a:t>
          </a:r>
          <a:r>
            <a:rPr kumimoji="1" lang="en-US" altLang="ja-JP" sz="1100">
              <a:solidFill>
                <a:sysClr val="windowText" lastClr="000000"/>
              </a:solidFill>
            </a:rPr>
            <a:t>5</a:t>
          </a:r>
          <a:r>
            <a:rPr kumimoji="1" lang="ja-JP" altLang="en-US" sz="1100">
              <a:solidFill>
                <a:sysClr val="windowText" lastClr="000000"/>
              </a:solidFill>
            </a:rPr>
            <a:t>行目以降に追加してください。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・工数取得対象の日付を増やす場合</a:t>
          </a:r>
          <a:endParaRPr lang="ja-JP" altLang="ja-JP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→「集計表」シート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列を追加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し、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行目に日付を記載してください。</a:t>
          </a:r>
          <a:endParaRPr kumimoji="1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　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この場合、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列移行に追加してください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・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工数取得対象の</a:t>
          </a:r>
          <a:r>
            <a:rPr kumimoji="1" lang="ja-JP" altLang="en-US" sz="1100">
              <a:solidFill>
                <a:sysClr val="windowText" lastClr="000000"/>
              </a:solidFill>
            </a:rPr>
            <a:t>日付の範囲を変更したい場合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→取得したい最新日を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「集計表」シートの日付行の最右セル（デフォルトだと</a:t>
          </a:r>
          <a:r>
            <a:rPr kumimoji="1" lang="en-US" altLang="ja-JP" sz="1100">
              <a:solidFill>
                <a:sysClr val="windowText" lastClr="000000"/>
              </a:solidFill>
            </a:rPr>
            <a:t>G4</a:t>
          </a:r>
          <a:r>
            <a:rPr kumimoji="1" lang="ja-JP" altLang="en-US" sz="1100">
              <a:solidFill>
                <a:sysClr val="windowText" lastClr="000000"/>
              </a:solidFill>
            </a:rPr>
            <a:t>セル）に入力してください。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それ以前の日付は自動的に入力されます。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当日を最新日として取得する場合はセルにに</a:t>
          </a:r>
          <a:r>
            <a:rPr kumimoji="1" lang="en-US" altLang="ja-JP" sz="1100">
              <a:solidFill>
                <a:sysClr val="windowText" lastClr="000000"/>
              </a:solidFill>
            </a:rPr>
            <a:t>"=TODAY()"</a:t>
          </a:r>
          <a:r>
            <a:rPr kumimoji="1" lang="ja-JP" altLang="en-US" sz="1100">
              <a:solidFill>
                <a:sysClr val="windowText" lastClr="000000"/>
              </a:solidFill>
            </a:rPr>
            <a:t>と入力してください。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</a:t>
          </a:r>
          <a:r>
            <a:rPr kumimoji="1" lang="en-US" altLang="ja-JP" sz="1100">
              <a:solidFill>
                <a:sysClr val="windowText" lastClr="000000"/>
              </a:solidFill>
            </a:rPr>
            <a:t>※</a:t>
          </a: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228600</xdr:rowOff>
    </xdr:from>
    <xdr:to>
      <xdr:col>14</xdr:col>
      <xdr:colOff>95250</xdr:colOff>
      <xdr:row>3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95875" y="228600"/>
          <a:ext cx="2819400" cy="723900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ysClr val="windowText" lastClr="000000"/>
              </a:solidFill>
            </a:rPr>
            <a:t>集計開始</a:t>
          </a:r>
        </a:p>
      </xdr:txBody>
    </xdr:sp>
    <xdr:clientData/>
  </xdr:twoCellAnchor>
  <xdr:twoCellAnchor>
    <xdr:from>
      <xdr:col>1</xdr:col>
      <xdr:colOff>9526</xdr:colOff>
      <xdr:row>9</xdr:row>
      <xdr:rowOff>9525</xdr:rowOff>
    </xdr:from>
    <xdr:to>
      <xdr:col>5</xdr:col>
      <xdr:colOff>581026</xdr:colOff>
      <xdr:row>12</xdr:row>
      <xdr:rowOff>190500</xdr:rowOff>
    </xdr:to>
    <xdr:sp macro="" textlink="">
      <xdr:nvSpPr>
        <xdr:cNvPr id="6" name="吹き出し: 線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85751" y="2219325"/>
          <a:ext cx="3314700" cy="895350"/>
        </a:xfrm>
        <a:prstGeom prst="borderCallout1">
          <a:avLst>
            <a:gd name="adj1" fmla="val 1998"/>
            <a:gd name="adj2" fmla="val 2721"/>
            <a:gd name="adj3" fmla="val -29474"/>
            <a:gd name="adj4" fmla="val 737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工数取得対象のメンバーを増やす場合</a:t>
          </a:r>
          <a:endParaRPr lang="ja-JP" altLang="ja-JP" u="sng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シートの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列に名前を追加してください。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この場合必ず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行目以降に追加してください。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9525</xdr:colOff>
      <xdr:row>13</xdr:row>
      <xdr:rowOff>123825</xdr:rowOff>
    </xdr:from>
    <xdr:to>
      <xdr:col>7</xdr:col>
      <xdr:colOff>123825</xdr:colOff>
      <xdr:row>17</xdr:row>
      <xdr:rowOff>9525</xdr:rowOff>
    </xdr:to>
    <xdr:sp macro="" textlink="">
      <xdr:nvSpPr>
        <xdr:cNvPr id="7" name="吹き出し: 線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5750" y="3286125"/>
          <a:ext cx="4229100" cy="838200"/>
        </a:xfrm>
        <a:prstGeom prst="borderCallout1">
          <a:avLst>
            <a:gd name="adj1" fmla="val -1411"/>
            <a:gd name="adj2" fmla="val 87406"/>
            <a:gd name="adj3" fmla="val -268956"/>
            <a:gd name="adj4" fmla="val 8831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工数取得対象の日付を増やす場合</a:t>
          </a:r>
          <a:endParaRPr lang="ja-JP" altLang="ja-JP" u="sng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シートに列を追加し、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行目に日付を記載してください。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この場合、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列移行に追加してください。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133348</xdr:colOff>
      <xdr:row>4</xdr:row>
      <xdr:rowOff>171450</xdr:rowOff>
    </xdr:from>
    <xdr:to>
      <xdr:col>17</xdr:col>
      <xdr:colOff>619125</xdr:colOff>
      <xdr:row>12</xdr:row>
      <xdr:rowOff>85725</xdr:rowOff>
    </xdr:to>
    <xdr:sp macro="" textlink="">
      <xdr:nvSpPr>
        <xdr:cNvPr id="8" name="吹き出し: 線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210173" y="1190625"/>
          <a:ext cx="6657977" cy="1819275"/>
        </a:xfrm>
        <a:prstGeom prst="borderCallout1">
          <a:avLst>
            <a:gd name="adj1" fmla="val 1998"/>
            <a:gd name="adj2" fmla="val 2721"/>
            <a:gd name="adj3" fmla="val -16337"/>
            <a:gd name="adj4" fmla="val -226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工数取得対象の日付の範囲を変更したい場合</a:t>
          </a:r>
          <a:endParaRPr lang="ja-JP" altLang="ja-JP" u="sng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取得したい最新日を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シートの日付行の最右セル（デフォルトだと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G4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セル）に入力してください。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それ以前の日付は自動的に入力されます。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デフォルトでは、集計当日を最新日とした以降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日間の工数を集計します。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その設定に戻す場合は、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日付行の最右セル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"=TODAY()"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と入力してください。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連続した日付でなくても工数の集計は可能です。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その場合は任意の日付を入力してください。</a:t>
          </a:r>
          <a:endParaRPr lang="ja-JP" altLang="ja-JP">
            <a:effectLst/>
          </a:endParaRPr>
        </a:p>
        <a:p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CD0C-D3F2-4F70-A8D9-55DC47C10A9E}">
  <sheetPr codeName="Sheet3"/>
  <dimension ref="A1:J11"/>
  <sheetViews>
    <sheetView workbookViewId="0">
      <selection activeCell="B6" sqref="B6:B10"/>
    </sheetView>
  </sheetViews>
  <sheetFormatPr defaultRowHeight="18.75" x14ac:dyDescent="0.4"/>
  <cols>
    <col min="1" max="1" width="3.625" style="4" customWidth="1"/>
    <col min="2" max="2" width="9" style="4"/>
    <col min="3" max="6" width="9" style="12"/>
    <col min="7" max="7" width="8.75" style="12" customWidth="1"/>
    <col min="8" max="11" width="9" style="4"/>
    <col min="12" max="12" width="9" style="4" customWidth="1"/>
    <col min="13" max="16384" width="9" style="4"/>
  </cols>
  <sheetData>
    <row r="1" spans="1:10" x14ac:dyDescent="0.4">
      <c r="C1" s="4"/>
      <c r="D1" s="4"/>
      <c r="E1" s="4"/>
      <c r="F1" s="4"/>
      <c r="G1" s="4"/>
    </row>
    <row r="2" spans="1:10" ht="24" x14ac:dyDescent="0.4">
      <c r="A2" s="8"/>
      <c r="B2" s="9" t="s">
        <v>2</v>
      </c>
      <c r="C2" s="4"/>
      <c r="D2" s="4"/>
      <c r="E2" s="4"/>
      <c r="F2" s="4"/>
      <c r="G2" s="4"/>
    </row>
    <row r="3" spans="1:10" x14ac:dyDescent="0.4">
      <c r="C3" s="4"/>
      <c r="D3" s="4"/>
      <c r="E3" s="4"/>
      <c r="F3" s="4"/>
      <c r="G3" s="4"/>
    </row>
    <row r="4" spans="1:10" s="7" customFormat="1" x14ac:dyDescent="0.4">
      <c r="A4" s="6"/>
      <c r="B4" s="6"/>
      <c r="C4" s="5">
        <f ca="1">$G$4-4</f>
        <v>44470</v>
      </c>
      <c r="D4" s="5">
        <f ca="1">$G$4-3</f>
        <v>44471</v>
      </c>
      <c r="E4" s="5">
        <f ca="1">$G$4-2</f>
        <v>44472</v>
      </c>
      <c r="F4" s="5">
        <f ca="1">$G$4-1</f>
        <v>44473</v>
      </c>
      <c r="G4" s="5">
        <f ca="1">TODAY()</f>
        <v>44474</v>
      </c>
    </row>
    <row r="5" spans="1:10" s="7" customFormat="1" x14ac:dyDescent="0.4">
      <c r="A5" s="6"/>
      <c r="B5" s="6"/>
      <c r="C5" s="5" t="str">
        <f ca="1">TEXT(C4,"(aaa)")</f>
        <v>(金)</v>
      </c>
      <c r="D5" s="5" t="str">
        <f t="shared" ref="D5:G5" ca="1" si="0">TEXT(D4,"(aaa)")</f>
        <v>(土)</v>
      </c>
      <c r="E5" s="5" t="str">
        <f t="shared" ca="1" si="0"/>
        <v>(日)</v>
      </c>
      <c r="F5" s="5" t="str">
        <f t="shared" ca="1" si="0"/>
        <v>(月)</v>
      </c>
      <c r="G5" s="5" t="str">
        <f t="shared" ca="1" si="0"/>
        <v>(火)</v>
      </c>
    </row>
    <row r="6" spans="1:10" x14ac:dyDescent="0.4">
      <c r="C6" s="12">
        <v>4</v>
      </c>
      <c r="D6" s="12">
        <v>0</v>
      </c>
      <c r="E6" s="12" t="s">
        <v>18</v>
      </c>
      <c r="F6" s="12" t="s">
        <v>19</v>
      </c>
      <c r="G6" s="12">
        <v>13</v>
      </c>
      <c r="I6" s="4" t="s">
        <v>16</v>
      </c>
      <c r="J6" s="7"/>
    </row>
    <row r="7" spans="1:10" x14ac:dyDescent="0.4">
      <c r="C7" s="12" t="s">
        <v>19</v>
      </c>
      <c r="D7" s="12">
        <v>0</v>
      </c>
      <c r="E7" s="12">
        <v>0</v>
      </c>
      <c r="F7" s="12" t="s">
        <v>19</v>
      </c>
      <c r="G7" s="12" t="s">
        <v>19</v>
      </c>
      <c r="I7" s="4" t="s">
        <v>17</v>
      </c>
      <c r="J7" s="7"/>
    </row>
    <row r="8" spans="1:10" x14ac:dyDescent="0.4">
      <c r="C8" s="12">
        <v>5</v>
      </c>
      <c r="D8" s="12" t="s">
        <v>20</v>
      </c>
      <c r="E8" s="12" t="s">
        <v>18</v>
      </c>
      <c r="F8" s="12" t="s">
        <v>19</v>
      </c>
      <c r="G8" s="12" t="s">
        <v>19</v>
      </c>
      <c r="J8" s="7"/>
    </row>
    <row r="9" spans="1:10" x14ac:dyDescent="0.4">
      <c r="C9" s="12">
        <v>5</v>
      </c>
      <c r="D9" s="12" t="s">
        <v>21</v>
      </c>
      <c r="E9" s="12" t="s">
        <v>18</v>
      </c>
      <c r="F9" s="12" t="s">
        <v>22</v>
      </c>
      <c r="G9" s="12" t="s">
        <v>19</v>
      </c>
      <c r="I9" s="4" t="s">
        <v>23</v>
      </c>
      <c r="J9" s="7"/>
    </row>
    <row r="10" spans="1:10" x14ac:dyDescent="0.4">
      <c r="C10" s="12" t="s">
        <v>19</v>
      </c>
      <c r="D10" s="12">
        <v>0</v>
      </c>
      <c r="E10" s="12">
        <v>0</v>
      </c>
      <c r="F10" s="12" t="s">
        <v>19</v>
      </c>
      <c r="G10" s="12" t="s">
        <v>19</v>
      </c>
      <c r="J10" s="7"/>
    </row>
    <row r="11" spans="1:10" x14ac:dyDescent="0.4">
      <c r="J11" s="7"/>
    </row>
  </sheetData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Syukei">
                <anchor moveWithCells="1" sizeWithCells="1">
                  <from>
                    <xdr:col>7</xdr:col>
                    <xdr:colOff>666750</xdr:colOff>
                    <xdr:row>0</xdr:row>
                    <xdr:rowOff>228600</xdr:rowOff>
                  </from>
                  <to>
                    <xdr:col>12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5D03-BDC3-47E2-AAD9-41372BB1CFF3}">
  <sheetPr codeName="Sheet2"/>
  <dimension ref="B2:H29"/>
  <sheetViews>
    <sheetView tabSelected="1" workbookViewId="0"/>
  </sheetViews>
  <sheetFormatPr defaultRowHeight="18.75" x14ac:dyDescent="0.4"/>
  <cols>
    <col min="1" max="1" width="3.625" customWidth="1"/>
    <col min="2" max="2" width="12" customWidth="1"/>
    <col min="8" max="8" width="9" style="13"/>
  </cols>
  <sheetData>
    <row r="2" spans="2:8" ht="24" x14ac:dyDescent="0.4">
      <c r="B2" s="2" t="s">
        <v>1</v>
      </c>
    </row>
    <row r="4" spans="2:8" x14ac:dyDescent="0.4">
      <c r="B4" t="s">
        <v>5</v>
      </c>
      <c r="C4" s="3" t="s">
        <v>0</v>
      </c>
      <c r="D4" t="s">
        <v>6</v>
      </c>
      <c r="E4" t="s">
        <v>7</v>
      </c>
      <c r="F4" t="s">
        <v>9</v>
      </c>
      <c r="G4" t="s">
        <v>10</v>
      </c>
      <c r="H4" s="13" t="s">
        <v>8</v>
      </c>
    </row>
    <row r="5" spans="2:8" x14ac:dyDescent="0.4">
      <c r="B5" t="s">
        <v>11</v>
      </c>
      <c r="C5" s="3">
        <v>44468</v>
      </c>
      <c r="D5" s="1"/>
      <c r="H5" s="13">
        <v>1</v>
      </c>
    </row>
    <row r="6" spans="2:8" x14ac:dyDescent="0.4">
      <c r="B6" t="s">
        <v>11</v>
      </c>
      <c r="C6" s="3">
        <v>44468</v>
      </c>
      <c r="D6" s="1"/>
      <c r="H6" s="13">
        <v>2</v>
      </c>
    </row>
    <row r="7" spans="2:8" x14ac:dyDescent="0.4">
      <c r="B7" t="s">
        <v>11</v>
      </c>
      <c r="C7" s="3">
        <v>44469</v>
      </c>
      <c r="D7" s="1"/>
      <c r="H7" s="13">
        <v>3</v>
      </c>
    </row>
    <row r="8" spans="2:8" x14ac:dyDescent="0.4">
      <c r="B8" t="s">
        <v>11</v>
      </c>
      <c r="C8" s="3">
        <v>44470</v>
      </c>
      <c r="D8" s="1"/>
      <c r="H8" s="13">
        <v>4</v>
      </c>
    </row>
    <row r="9" spans="2:8" x14ac:dyDescent="0.4">
      <c r="B9" t="s">
        <v>11</v>
      </c>
      <c r="C9" s="3">
        <v>44470</v>
      </c>
      <c r="D9" s="1"/>
      <c r="H9" s="13">
        <v>1</v>
      </c>
    </row>
    <row r="10" spans="2:8" x14ac:dyDescent="0.4">
      <c r="B10" t="s">
        <v>11</v>
      </c>
      <c r="C10" s="3">
        <v>44471</v>
      </c>
      <c r="D10" s="1"/>
      <c r="H10" s="13">
        <v>2</v>
      </c>
    </row>
    <row r="11" spans="2:8" x14ac:dyDescent="0.4">
      <c r="B11" t="s">
        <v>11</v>
      </c>
      <c r="C11" s="3">
        <v>44471</v>
      </c>
      <c r="D11" s="1"/>
      <c r="H11" s="13">
        <v>3</v>
      </c>
    </row>
    <row r="12" spans="2:8" x14ac:dyDescent="0.4">
      <c r="B12" t="s">
        <v>11</v>
      </c>
      <c r="C12" s="3">
        <v>44472</v>
      </c>
      <c r="D12" s="1"/>
      <c r="H12" s="13">
        <v>4</v>
      </c>
    </row>
    <row r="13" spans="2:8" x14ac:dyDescent="0.4">
      <c r="B13" t="s">
        <v>11</v>
      </c>
      <c r="C13" s="3">
        <v>44468</v>
      </c>
      <c r="D13" s="1"/>
      <c r="H13" s="13">
        <v>1</v>
      </c>
    </row>
    <row r="14" spans="2:8" x14ac:dyDescent="0.4">
      <c r="B14" t="s">
        <v>11</v>
      </c>
      <c r="C14" s="3">
        <v>44468</v>
      </c>
      <c r="D14" s="1"/>
      <c r="H14" s="13">
        <v>2</v>
      </c>
    </row>
    <row r="15" spans="2:8" x14ac:dyDescent="0.4">
      <c r="B15" t="s">
        <v>11</v>
      </c>
      <c r="C15" s="3">
        <v>44469</v>
      </c>
      <c r="D15" s="1"/>
      <c r="H15" s="13">
        <v>3</v>
      </c>
    </row>
    <row r="16" spans="2:8" x14ac:dyDescent="0.4">
      <c r="B16" t="s">
        <v>11</v>
      </c>
      <c r="C16" s="3">
        <v>44470</v>
      </c>
      <c r="D16" s="1"/>
      <c r="H16" s="13">
        <v>4</v>
      </c>
    </row>
    <row r="17" spans="2:8" x14ac:dyDescent="0.4">
      <c r="B17" t="s">
        <v>11</v>
      </c>
      <c r="C17" s="3">
        <v>44470</v>
      </c>
      <c r="D17" s="1"/>
      <c r="H17" s="13">
        <v>1</v>
      </c>
    </row>
    <row r="18" spans="2:8" x14ac:dyDescent="0.4">
      <c r="B18" t="s">
        <v>11</v>
      </c>
      <c r="C18" s="3">
        <v>44471</v>
      </c>
      <c r="D18" s="1"/>
      <c r="H18" s="13">
        <v>0</v>
      </c>
    </row>
    <row r="19" spans="2:8" x14ac:dyDescent="0.4">
      <c r="B19" t="s">
        <v>11</v>
      </c>
      <c r="C19" s="3">
        <v>44471</v>
      </c>
      <c r="D19" s="1"/>
      <c r="H19" s="13">
        <v>0</v>
      </c>
    </row>
    <row r="20" spans="2:8" x14ac:dyDescent="0.4">
      <c r="B20" t="s">
        <v>11</v>
      </c>
      <c r="C20" s="3">
        <v>44472</v>
      </c>
      <c r="D20" s="1"/>
      <c r="H20" s="13">
        <v>4</v>
      </c>
    </row>
    <row r="21" spans="2:8" x14ac:dyDescent="0.4">
      <c r="B21" t="s">
        <v>11</v>
      </c>
      <c r="C21" s="3">
        <v>44468</v>
      </c>
      <c r="D21" s="1"/>
      <c r="H21" s="13">
        <v>1</v>
      </c>
    </row>
    <row r="22" spans="2:8" x14ac:dyDescent="0.4">
      <c r="B22" t="s">
        <v>11</v>
      </c>
      <c r="C22" s="3">
        <v>44468</v>
      </c>
      <c r="D22" s="1"/>
      <c r="H22" s="13">
        <v>2</v>
      </c>
    </row>
    <row r="23" spans="2:8" x14ac:dyDescent="0.4">
      <c r="B23" t="s">
        <v>11</v>
      </c>
      <c r="C23" s="3">
        <v>44469</v>
      </c>
      <c r="D23" s="1"/>
      <c r="H23" s="13">
        <v>3</v>
      </c>
    </row>
    <row r="24" spans="2:8" x14ac:dyDescent="0.4">
      <c r="B24" t="s">
        <v>11</v>
      </c>
      <c r="C24" s="3">
        <v>44470</v>
      </c>
      <c r="D24" s="1"/>
      <c r="H24" s="13">
        <v>4</v>
      </c>
    </row>
    <row r="25" spans="2:8" x14ac:dyDescent="0.4">
      <c r="B25" t="s">
        <v>11</v>
      </c>
      <c r="C25" s="3">
        <v>44474</v>
      </c>
      <c r="D25" s="1"/>
      <c r="H25" s="13">
        <v>13</v>
      </c>
    </row>
    <row r="26" spans="2:8" x14ac:dyDescent="0.4">
      <c r="B26" t="s">
        <v>11</v>
      </c>
      <c r="C26" s="3">
        <v>44471</v>
      </c>
      <c r="D26" s="1"/>
      <c r="H26" s="13">
        <v>2</v>
      </c>
    </row>
    <row r="27" spans="2:8" x14ac:dyDescent="0.4">
      <c r="B27" t="s">
        <v>11</v>
      </c>
      <c r="C27" s="3">
        <v>44473</v>
      </c>
      <c r="D27" s="1"/>
      <c r="H27" s="13">
        <v>12.2</v>
      </c>
    </row>
    <row r="28" spans="2:8" x14ac:dyDescent="0.4">
      <c r="B28" t="s">
        <v>11</v>
      </c>
      <c r="C28" s="3">
        <v>44472</v>
      </c>
      <c r="D28" s="1"/>
      <c r="H28" s="13">
        <v>4</v>
      </c>
    </row>
    <row r="29" spans="2:8" x14ac:dyDescent="0.4">
      <c r="B29" t="s">
        <v>11</v>
      </c>
      <c r="C29" s="3">
        <v>44470</v>
      </c>
      <c r="D29" s="1"/>
      <c r="H29" s="13">
        <v>4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387C-7C41-41F6-95BA-BE114E2BE9F9}">
  <sheetPr codeName="Sheet1"/>
  <dimension ref="B2:I9"/>
  <sheetViews>
    <sheetView workbookViewId="0"/>
  </sheetViews>
  <sheetFormatPr defaultRowHeight="18.75" x14ac:dyDescent="0.4"/>
  <cols>
    <col min="1" max="1" width="3.625" customWidth="1"/>
  </cols>
  <sheetData>
    <row r="2" spans="2:9" ht="24" x14ac:dyDescent="0.4">
      <c r="B2" s="9" t="s">
        <v>2</v>
      </c>
      <c r="C2" s="4"/>
      <c r="D2" s="4"/>
      <c r="E2" s="4"/>
      <c r="F2" s="4"/>
      <c r="G2" s="4"/>
      <c r="H2" s="4"/>
      <c r="I2" s="4"/>
    </row>
    <row r="3" spans="2:9" x14ac:dyDescent="0.4">
      <c r="B3" s="4"/>
      <c r="C3" s="4"/>
      <c r="D3" s="4"/>
      <c r="E3" s="4"/>
      <c r="F3" s="4"/>
      <c r="G3" s="4"/>
      <c r="H3" s="4"/>
      <c r="I3" s="4"/>
    </row>
    <row r="4" spans="2:9" x14ac:dyDescent="0.4">
      <c r="B4" s="6"/>
      <c r="C4" s="5">
        <f ca="1">$H$4-4</f>
        <v>44470</v>
      </c>
      <c r="D4" s="5">
        <f ca="1">$H$4-3</f>
        <v>44471</v>
      </c>
      <c r="E4" s="5">
        <f ca="1">$H$4-2</f>
        <v>44472</v>
      </c>
      <c r="F4" s="5">
        <f ca="1">$H$4-1</f>
        <v>44473</v>
      </c>
      <c r="G4" s="11">
        <v>44473</v>
      </c>
      <c r="H4" s="11">
        <f ca="1">TODAY()</f>
        <v>44474</v>
      </c>
    </row>
    <row r="5" spans="2:9" x14ac:dyDescent="0.4">
      <c r="B5" s="4" t="s">
        <v>4</v>
      </c>
      <c r="C5" s="4" t="s">
        <v>12</v>
      </c>
      <c r="D5" s="4" t="s">
        <v>12</v>
      </c>
      <c r="E5" s="4">
        <v>5</v>
      </c>
      <c r="F5" s="4">
        <v>5</v>
      </c>
      <c r="G5" s="4"/>
      <c r="H5" s="4">
        <v>4</v>
      </c>
      <c r="I5" s="4"/>
    </row>
    <row r="6" spans="2:9" x14ac:dyDescent="0.4">
      <c r="B6" s="4" t="s">
        <v>3</v>
      </c>
      <c r="C6" s="4" t="s">
        <v>13</v>
      </c>
      <c r="D6" s="4" t="s">
        <v>13</v>
      </c>
      <c r="E6" s="4" t="s">
        <v>13</v>
      </c>
      <c r="F6" s="4" t="s">
        <v>13</v>
      </c>
      <c r="G6" s="4"/>
      <c r="H6" s="4" t="s">
        <v>13</v>
      </c>
      <c r="I6" s="4"/>
    </row>
    <row r="7" spans="2:9" x14ac:dyDescent="0.4">
      <c r="B7" s="4" t="s">
        <v>14</v>
      </c>
      <c r="C7" s="4" t="s">
        <v>12</v>
      </c>
      <c r="D7" s="4" t="s">
        <v>12</v>
      </c>
      <c r="E7" s="4">
        <v>5</v>
      </c>
      <c r="F7" s="4">
        <v>5</v>
      </c>
      <c r="G7" s="4"/>
      <c r="H7" s="4">
        <v>4</v>
      </c>
      <c r="I7" s="4"/>
    </row>
    <row r="8" spans="2:9" x14ac:dyDescent="0.4">
      <c r="B8" s="10" t="s">
        <v>15</v>
      </c>
      <c r="C8" s="4"/>
      <c r="D8" s="4"/>
      <c r="E8" s="4"/>
      <c r="F8" s="4"/>
      <c r="G8" s="4"/>
      <c r="H8" s="4"/>
      <c r="I8" s="4"/>
    </row>
    <row r="9" spans="2:9" x14ac:dyDescent="0.4">
      <c r="B9" s="4"/>
      <c r="C9" s="4"/>
      <c r="D9" s="4"/>
      <c r="E9" s="4"/>
      <c r="F9" s="4"/>
      <c r="G9" s="4"/>
      <c r="H9" s="4"/>
      <c r="I9" s="4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集計表</vt:lpstr>
      <vt:lpstr>データ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suika</dc:creator>
  <cp:lastModifiedBy>suika</cp:lastModifiedBy>
  <dcterms:created xsi:type="dcterms:W3CDTF">2021-09-26T14:25:10Z</dcterms:created>
  <dcterms:modified xsi:type="dcterms:W3CDTF">2021-10-04T16:34:51Z</dcterms:modified>
</cp:coreProperties>
</file>